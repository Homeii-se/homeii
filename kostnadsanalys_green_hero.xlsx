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stnadsanaly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<sst xmlns="http://schemas.openxmlformats.org/spreadsheetml/2006/main" count="79" uniqueCount="62">
  <si>
    <t xml:space="preserve">Kostnadsanalys — Green Hero elhandel, februari 2026</t>
  </si>
  <si>
    <t xml:space="preserve">Baserat på faktura 29475838 • Dalvägen 10, Täby • SE3 • Ellevio elnät</t>
  </si>
  <si>
    <t xml:space="preserve">INDATA FRÅN FAKTURA</t>
  </si>
  <si>
    <t xml:space="preserve">Beräknad årsförbrukning</t>
  </si>
  <si>
    <t xml:space="preserve">kWh</t>
  </si>
  <si>
    <t xml:space="preserve">Februari förbrukning</t>
  </si>
  <si>
    <t xml:space="preserve">Spotpris feb (exkl moms)</t>
  </si>
  <si>
    <t xml:space="preserve">öre/kWh</t>
  </si>
  <si>
    <t xml:space="preserve">Påslag (rörligt + fast)</t>
  </si>
  <si>
    <t xml:space="preserve">Månadsavgift elhandel (exkl moms)</t>
  </si>
  <si>
    <t xml:space="preserve">kr/mån</t>
  </si>
  <si>
    <t xml:space="preserve">ELNÄT (ELLEVIO, FRÅN DATABAS)</t>
  </si>
  <si>
    <t xml:space="preserve">Fast nätavgift (exkl moms)</t>
  </si>
  <si>
    <t xml:space="preserve">Överföringsavgift (exkl moms)</t>
  </si>
  <si>
    <t xml:space="preserve">Effektavgift (exkl moms)</t>
  </si>
  <si>
    <t xml:space="preserve">kr/kW/mån</t>
  </si>
  <si>
    <t xml:space="preserve">Energiskatt (exkl moms)</t>
  </si>
  <si>
    <t xml:space="preserve">Spotpriskvot (smartness)</t>
  </si>
  <si>
    <t xml:space="preserve">kWh/månad (snitt)</t>
  </si>
  <si>
    <t xml:space="preserve">Månad</t>
  </si>
  <si>
    <t xml:space="preserve">Säsongs-
faktor</t>
  </si>
  <si>
    <t xml:space="preserve">Spot
(öre exkl)</t>
  </si>
  <si>
    <t xml:space="preserve">Spotenergi</t>
  </si>
  <si>
    <t xml:space="preserve">Elhandel
påslag</t>
  </si>
  <si>
    <t xml:space="preserve">Elhandel
avgift</t>
  </si>
  <si>
    <t xml:space="preserve">Nätavgift
(fast)</t>
  </si>
  <si>
    <t xml:space="preserve">Överföring</t>
  </si>
  <si>
    <t xml:space="preserve">Energi-
skatt</t>
  </si>
  <si>
    <t xml:space="preserve">Effekt-
avgift</t>
  </si>
  <si>
    <t xml:space="preserve">TOTAL
(inkl moms)</t>
  </si>
  <si>
    <t xml:space="preserve">Peak
(kW)</t>
  </si>
  <si>
    <t xml:space="preserve">Januari</t>
  </si>
  <si>
    <t xml:space="preserve">Februari</t>
  </si>
  <si>
    <t xml:space="preserve">Mars</t>
  </si>
  <si>
    <t xml:space="preserve">April</t>
  </si>
  <si>
    <t xml:space="preserve">Maj</t>
  </si>
  <si>
    <t xml:space="preserve">Juni</t>
  </si>
  <si>
    <t xml:space="preserve">Juli</t>
  </si>
  <si>
    <t xml:space="preserve">Augusti</t>
  </si>
  <si>
    <t xml:space="preserve">September</t>
  </si>
  <si>
    <t xml:space="preserve">Oktober</t>
  </si>
  <si>
    <t xml:space="preserve">November</t>
  </si>
  <si>
    <t xml:space="preserve">December</t>
  </si>
  <si>
    <t xml:space="preserve">TOTALT ÅR</t>
  </si>
  <si>
    <t xml:space="preserve">EFFEKTTOPP-BERÄKNING (simulerad)</t>
  </si>
  <si>
    <t xml:space="preserve">Effektiv peak (top-3 snitt)</t>
  </si>
  <si>
    <t xml:space="preserve">kW</t>
  </si>
  <si>
    <t xml:space="preserve">Top 1</t>
  </si>
  <si>
    <t xml:space="preserve">Top 2</t>
  </si>
  <si>
    <t xml:space="preserve">Top 3</t>
  </si>
  <si>
    <t xml:space="preserve">SAMMANFATTNING</t>
  </si>
  <si>
    <t xml:space="preserve">kr</t>
  </si>
  <si>
    <t xml:space="preserve">Elhandelspåslag</t>
  </si>
  <si>
    <t xml:space="preserve">Elhandelsavgift</t>
  </si>
  <si>
    <t xml:space="preserve">Nätavgift (fast)</t>
  </si>
  <si>
    <t xml:space="preserve">Överföringsavgift</t>
  </si>
  <si>
    <t xml:space="preserve">Energiskatt</t>
  </si>
  <si>
    <t xml:space="preserve">Effektavgift</t>
  </si>
  <si>
    <t xml:space="preserve">TOTAL ÅRSKOSTNAD</t>
  </si>
  <si>
    <t xml:space="preserve">kr inkl moms</t>
  </si>
  <si>
    <t xml:space="preserve">⚠ Effektavgiften baseras på simulerade toppar. Med elnätsfaktura (faktisk peak 8,98 kW) blir den ~8 755 kr/år istället.</t>
  </si>
  <si>
    <t xml:space="preserve">⚠ Spotpriserna är systemets SE3-snittpriser per månad. Verkliga priser varierar år till år.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</si>
</sst>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sz val="10"/>
      <color rgb="FF1B4332"/>
      <name val="Arial"/>
      <family val="0"/>
      <charset val="1"/>
    </font>
    <font>
      <i val="true"/>
      <sz val="9"/>
      <color rgb="FFCC66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FFF3CD"/>
        <bgColor rgb="FFFFF8E1"/>
      </patternFill>
    </fill>
    <fill>
      <patternFill patternType="solid">
        <fgColor rgb="FF2D6A4F"/>
        <bgColor rgb="FF666666"/>
      </patternFill>
    </fill>
    <fill>
      <patternFill patternType="solid">
        <fgColor rgb="FFFFF8E1"/>
        <bgColor rgb="FFFFF3CD"/>
      </patternFill>
    </fill>
    <fill>
      <patternFill patternType="solid">
        <fgColor rgb="FFD8F3D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43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88888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5" min="2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23265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3410.67</v>
      </c>
      <c r="C6" s="6" t="s">
        <v>4</v>
      </c>
    </row>
    <row r="7" customFormat="false" ht="15" hidden="false" customHeight="false" outlineLevel="0" collapsed="false">
      <c r="A7" s="4" t="s">
        <v>6</v>
      </c>
      <c r="B7" s="5" t="n">
        <v>105.65</v>
      </c>
      <c r="C7" s="6" t="s">
        <v>7</v>
      </c>
    </row>
    <row r="8" customFormat="false" ht="15" hidden="false" customHeight="false" outlineLevel="0" collapsed="false">
      <c r="A8" s="4" t="s">
        <v>8</v>
      </c>
      <c r="B8" s="5" t="n">
        <v>10.69</v>
      </c>
      <c r="C8" s="6" t="s">
        <v>7</v>
      </c>
    </row>
    <row r="9" customFormat="false" ht="15" hidden="false" customHeight="false" outlineLevel="0" collapsed="false">
      <c r="A9" s="4" t="s">
        <v>9</v>
      </c>
      <c r="B9" s="5" t="n">
        <v>39.2</v>
      </c>
      <c r="C9" s="6" t="s">
        <v>10</v>
      </c>
    </row>
    <row r="11" customFormat="false" ht="15" hidden="false" customHeight="false" outlineLevel="0" collapsed="false">
      <c r="A11" s="7" t="s">
        <v>11</v>
      </c>
      <c r="B11" s="7"/>
      <c r="C11" s="7"/>
      <c r="D11" s="7"/>
    </row>
    <row r="12" customFormat="false" ht="15" hidden="false" customHeight="false" outlineLevel="0" collapsed="false">
      <c r="A12" s="4" t="s">
        <v>12</v>
      </c>
      <c r="B12" s="5" t="n">
        <v>395</v>
      </c>
      <c r="C12" s="6" t="s">
        <v>10</v>
      </c>
    </row>
    <row r="13" customFormat="false" ht="15" hidden="false" customHeight="false" outlineLevel="0" collapsed="false">
      <c r="A13" s="4" t="s">
        <v>13</v>
      </c>
      <c r="B13" s="5" t="n">
        <v>7</v>
      </c>
      <c r="C13" s="6" t="s">
        <v>7</v>
      </c>
    </row>
    <row r="14" customFormat="false" ht="15" hidden="false" customHeight="false" outlineLevel="0" collapsed="false">
      <c r="A14" s="4" t="s">
        <v>14</v>
      </c>
      <c r="B14" s="5" t="n">
        <v>65</v>
      </c>
      <c r="C14" s="6" t="s">
        <v>15</v>
      </c>
    </row>
    <row r="15" customFormat="false" ht="15" hidden="false" customHeight="false" outlineLevel="0" collapsed="false">
      <c r="A15" s="4" t="s">
        <v>16</v>
      </c>
      <c r="B15" s="5" t="n">
        <v>36</v>
      </c>
      <c r="C15" s="6" t="s">
        <v>7</v>
      </c>
    </row>
    <row r="16" customFormat="false" ht="15" hidden="false" customHeight="false" outlineLevel="0" collapsed="false">
      <c r="A16" s="4" t="s">
        <v>17</v>
      </c>
      <c r="B16" s="5" t="n">
        <v>0.9605</v>
      </c>
      <c r="C16" s="6"/>
    </row>
    <row r="17" customFormat="false" ht="15" hidden="false" customHeight="false" outlineLevel="0" collapsed="false">
      <c r="A17" s="4" t="s">
        <v>18</v>
      </c>
      <c r="B17" s="8" t="n">
        <f aca="false">ROUND(B5/12,0)</f>
        <v>1939</v>
      </c>
      <c r="C17" s="6" t="s">
        <v>4</v>
      </c>
    </row>
    <row r="19" customFormat="false" ht="34.5" hidden="false" customHeight="true" outlineLevel="0" collapsed="false">
      <c r="A19" s="9" t="s">
        <v>19</v>
      </c>
      <c r="B19" s="9" t="s">
        <v>20</v>
      </c>
      <c r="C19" s="9" t="s">
        <v>4</v>
      </c>
      <c r="D19" s="9" t="s">
        <v>21</v>
      </c>
      <c r="E19" s="9" t="s">
        <v>22</v>
      </c>
      <c r="F19" s="9" t="s">
        <v>23</v>
      </c>
      <c r="G19" s="9" t="s">
        <v>24</v>
      </c>
      <c r="H19" s="9" t="s">
        <v>25</v>
      </c>
      <c r="I19" s="9" t="s">
        <v>26</v>
      </c>
      <c r="J19" s="9" t="s">
        <v>27</v>
      </c>
      <c r="K19" s="9" t="s">
        <v>28</v>
      </c>
      <c r="L19" s="9" t="s">
        <v>29</v>
      </c>
      <c r="M19" s="9" t="s">
        <v>30</v>
      </c>
    </row>
    <row r="20" customFormat="false" ht="15" hidden="false" customHeight="false" outlineLevel="0" collapsed="false">
      <c r="A20" s="4" t="s">
        <v>31</v>
      </c>
      <c r="B20" s="10" t="n">
        <v>1.452</v>
      </c>
      <c r="C20" s="11" t="n">
        <f aca="false">ROUND($B$17*B20,0)</f>
        <v>2815</v>
      </c>
      <c r="D20" s="12" t="n">
        <f aca="false">108*$B$16</f>
        <v>103.734</v>
      </c>
      <c r="E20" s="11" t="n">
        <f aca="false">C20*D20/100*1.25</f>
        <v>3650.140125</v>
      </c>
      <c r="F20" s="11" t="n">
        <f aca="false">C20*$B$8/100*1.25</f>
        <v>376.154375</v>
      </c>
      <c r="G20" s="11" t="n">
        <f aca="false">$B$9*1.25</f>
        <v>49</v>
      </c>
      <c r="H20" s="11" t="n">
        <f aca="false">$B$12*1.25</f>
        <v>493.75</v>
      </c>
      <c r="I20" s="11" t="n">
        <f aca="false">C20*$B$13/100*1.25</f>
        <v>246.3125</v>
      </c>
      <c r="J20" s="11" t="n">
        <f aca="false">C20*$B$15/100*1.25</f>
        <v>1266.75</v>
      </c>
      <c r="K20" s="11" t="n">
        <f aca="false">$B$35*$B$14*1.25</f>
        <v>641.875</v>
      </c>
      <c r="L20" s="11" t="n">
        <f aca="false">SUM(E20:K20)</f>
        <v>6723.982</v>
      </c>
      <c r="M20" s="13" t="n">
        <f aca="false">C20/31/24*1.9</f>
        <v>7.18884408602151</v>
      </c>
    </row>
    <row r="21" customFormat="false" ht="15" hidden="false" customHeight="false" outlineLevel="0" collapsed="false">
      <c r="A21" s="14" t="s">
        <v>32</v>
      </c>
      <c r="B21" s="15" t="n">
        <v>1.759</v>
      </c>
      <c r="C21" s="16" t="n">
        <f aca="false">ROUND($B$17*B21,0)</f>
        <v>3411</v>
      </c>
      <c r="D21" s="17" t="n">
        <f aca="false">110*$B$16</f>
        <v>105.655</v>
      </c>
      <c r="E21" s="16" t="n">
        <f aca="false">C21*D21/100*1.25</f>
        <v>4504.8650625</v>
      </c>
      <c r="F21" s="16" t="n">
        <f aca="false">C21*$B$8/100*1.25</f>
        <v>455.794875</v>
      </c>
      <c r="G21" s="16" t="n">
        <f aca="false">$B$9*1.25</f>
        <v>49</v>
      </c>
      <c r="H21" s="16" t="n">
        <f aca="false">$B$12*1.25</f>
        <v>493.75</v>
      </c>
      <c r="I21" s="16" t="n">
        <f aca="false">C21*$B$13/100*1.25</f>
        <v>298.4625</v>
      </c>
      <c r="J21" s="16" t="n">
        <f aca="false">C21*$B$15/100*1.25</f>
        <v>1534.95</v>
      </c>
      <c r="K21" s="16" t="n">
        <f aca="false">$B$35*$B$14*1.25</f>
        <v>641.875</v>
      </c>
      <c r="L21" s="16" t="n">
        <f aca="false">SUM(E21:K21)</f>
        <v>7978.6974375</v>
      </c>
      <c r="M21" s="18" t="n">
        <f aca="false">C21/28/24*1.9</f>
        <v>9.64419642857143</v>
      </c>
    </row>
    <row r="22" customFormat="false" ht="15" hidden="false" customHeight="false" outlineLevel="0" collapsed="false">
      <c r="A22" s="4" t="s">
        <v>33</v>
      </c>
      <c r="B22" s="10" t="n">
        <v>1.1478</v>
      </c>
      <c r="C22" s="11" t="n">
        <f aca="false">ROUND($B$17*B22,0)</f>
        <v>2226</v>
      </c>
      <c r="D22" s="12" t="n">
        <f aca="false">59*$B$16</f>
        <v>56.6695</v>
      </c>
      <c r="E22" s="11" t="n">
        <f aca="false">C22*D22/100*1.25</f>
        <v>1576.8288375</v>
      </c>
      <c r="F22" s="11" t="n">
        <f aca="false">C22*$B$8/100*1.25</f>
        <v>297.44925</v>
      </c>
      <c r="G22" s="11" t="n">
        <f aca="false">$B$9*1.25</f>
        <v>49</v>
      </c>
      <c r="H22" s="11" t="n">
        <f aca="false">$B$12*1.25</f>
        <v>493.75</v>
      </c>
      <c r="I22" s="11" t="n">
        <f aca="false">C22*$B$13/100*1.25</f>
        <v>194.775</v>
      </c>
      <c r="J22" s="11" t="n">
        <f aca="false">C22*$B$15/100*1.25</f>
        <v>1001.7</v>
      </c>
      <c r="K22" s="11" t="n">
        <f aca="false">$B$35*$B$14*1.25</f>
        <v>641.875</v>
      </c>
      <c r="L22" s="11" t="n">
        <f aca="false">SUM(E22:K22)</f>
        <v>4255.3780875</v>
      </c>
      <c r="M22" s="13" t="n">
        <f aca="false">C22/31/24*1.9</f>
        <v>5.68467741935484</v>
      </c>
    </row>
    <row r="23" customFormat="false" ht="15" hidden="false" customHeight="false" outlineLevel="0" collapsed="false">
      <c r="A23" s="4" t="s">
        <v>34</v>
      </c>
      <c r="B23" s="10" t="n">
        <v>0.8654</v>
      </c>
      <c r="C23" s="11" t="n">
        <f aca="false">ROUND($B$17*B23,0)</f>
        <v>1678</v>
      </c>
      <c r="D23" s="12" t="n">
        <f aca="false">61*$B$16</f>
        <v>58.5905</v>
      </c>
      <c r="E23" s="11" t="n">
        <f aca="false">C23*D23/100*1.25</f>
        <v>1228.9357375</v>
      </c>
      <c r="F23" s="11" t="n">
        <f aca="false">C23*$B$8/100*1.25</f>
        <v>224.22275</v>
      </c>
      <c r="G23" s="11" t="n">
        <f aca="false">$B$9*1.25</f>
        <v>49</v>
      </c>
      <c r="H23" s="11" t="n">
        <f aca="false">$B$12*1.25</f>
        <v>493.75</v>
      </c>
      <c r="I23" s="11" t="n">
        <f aca="false">C23*$B$13/100*1.25</f>
        <v>146.825</v>
      </c>
      <c r="J23" s="11" t="n">
        <f aca="false">C23*$B$15/100*1.25</f>
        <v>755.1</v>
      </c>
      <c r="K23" s="11" t="n">
        <f aca="false">$B$35*$B$14*1.25</f>
        <v>641.875</v>
      </c>
      <c r="L23" s="11" t="n">
        <f aca="false">SUM(E23:K23)</f>
        <v>3539.7084875</v>
      </c>
      <c r="M23" s="13" t="n">
        <f aca="false">C23/30/24*1.6</f>
        <v>3.72888888888889</v>
      </c>
    </row>
    <row r="24" customFormat="false" ht="15" hidden="false" customHeight="false" outlineLevel="0" collapsed="false">
      <c r="A24" s="4" t="s">
        <v>35</v>
      </c>
      <c r="B24" s="10" t="n">
        <v>0.6302</v>
      </c>
      <c r="C24" s="11" t="n">
        <f aca="false">ROUND($B$17*B24,0)</f>
        <v>1222</v>
      </c>
      <c r="D24" s="12" t="n">
        <f aca="false">69*$B$16</f>
        <v>66.2745</v>
      </c>
      <c r="E24" s="11" t="n">
        <f aca="false">C24*D24/100*1.25</f>
        <v>1012.3429875</v>
      </c>
      <c r="F24" s="11" t="n">
        <f aca="false">C24*$B$8/100*1.25</f>
        <v>163.28975</v>
      </c>
      <c r="G24" s="11" t="n">
        <f aca="false">$B$9*1.25</f>
        <v>49</v>
      </c>
      <c r="H24" s="11" t="n">
        <f aca="false">$B$12*1.25</f>
        <v>493.75</v>
      </c>
      <c r="I24" s="11" t="n">
        <f aca="false">C24*$B$13/100*1.25</f>
        <v>106.925</v>
      </c>
      <c r="J24" s="11" t="n">
        <f aca="false">C24*$B$15/100*1.25</f>
        <v>549.9</v>
      </c>
      <c r="K24" s="11" t="n">
        <f aca="false">$B$35*$B$14*1.25</f>
        <v>641.875</v>
      </c>
      <c r="L24" s="11" t="n">
        <f aca="false">SUM(E24:K24)</f>
        <v>3017.0827375</v>
      </c>
      <c r="M24" s="13" t="n">
        <f aca="false">C24/31/24*1.6</f>
        <v>2.62795698924731</v>
      </c>
    </row>
    <row r="25" customFormat="false" ht="15" hidden="false" customHeight="false" outlineLevel="0" collapsed="false">
      <c r="A25" s="4" t="s">
        <v>36</v>
      </c>
      <c r="B25" s="10" t="n">
        <v>0.5222</v>
      </c>
      <c r="C25" s="11" t="n">
        <f aca="false">ROUND($B$17*B25,0)</f>
        <v>1013</v>
      </c>
      <c r="D25" s="12" t="n">
        <f aca="false">37*$B$16</f>
        <v>35.5385</v>
      </c>
      <c r="E25" s="11" t="n">
        <f aca="false">C25*D25/100*1.25</f>
        <v>450.00625625</v>
      </c>
      <c r="F25" s="11" t="n">
        <f aca="false">C25*$B$8/100*1.25</f>
        <v>135.362125</v>
      </c>
      <c r="G25" s="11" t="n">
        <f aca="false">$B$9*1.25</f>
        <v>49</v>
      </c>
      <c r="H25" s="11" t="n">
        <f aca="false">$B$12*1.25</f>
        <v>493.75</v>
      </c>
      <c r="I25" s="11" t="n">
        <f aca="false">C25*$B$13/100*1.25</f>
        <v>88.6375</v>
      </c>
      <c r="J25" s="11" t="n">
        <f aca="false">C25*$B$15/100*1.25</f>
        <v>455.85</v>
      </c>
      <c r="K25" s="11" t="n">
        <f aca="false">$B$35*$B$14*1.25</f>
        <v>641.875</v>
      </c>
      <c r="L25" s="11" t="n">
        <f aca="false">SUM(E25:K25)</f>
        <v>2314.48088125</v>
      </c>
      <c r="M25" s="13" t="n">
        <f aca="false">C25/30/24*1.6</f>
        <v>2.25111111111111</v>
      </c>
    </row>
    <row r="26" customFormat="false" ht="15" hidden="false" customHeight="false" outlineLevel="0" collapsed="false">
      <c r="A26" s="4" t="s">
        <v>37</v>
      </c>
      <c r="B26" s="10" t="n">
        <v>0.5123</v>
      </c>
      <c r="C26" s="11" t="n">
        <f aca="false">ROUND($B$17*B26,0)</f>
        <v>993</v>
      </c>
      <c r="D26" s="12" t="n">
        <f aca="false">29*$B$16</f>
        <v>27.8545</v>
      </c>
      <c r="E26" s="11" t="n">
        <f aca="false">C26*D26/100*1.25</f>
        <v>345.74398125</v>
      </c>
      <c r="F26" s="11" t="n">
        <f aca="false">C26*$B$8/100*1.25</f>
        <v>132.689625</v>
      </c>
      <c r="G26" s="11" t="n">
        <f aca="false">$B$9*1.25</f>
        <v>49</v>
      </c>
      <c r="H26" s="11" t="n">
        <f aca="false">$B$12*1.25</f>
        <v>493.75</v>
      </c>
      <c r="I26" s="11" t="n">
        <f aca="false">C26*$B$13/100*1.25</f>
        <v>86.8875</v>
      </c>
      <c r="J26" s="11" t="n">
        <f aca="false">C26*$B$15/100*1.25</f>
        <v>446.85</v>
      </c>
      <c r="K26" s="11" t="n">
        <f aca="false">$B$35*$B$14*1.25</f>
        <v>641.875</v>
      </c>
      <c r="L26" s="11" t="n">
        <f aca="false">SUM(E26:K26)</f>
        <v>2196.79610625</v>
      </c>
      <c r="M26" s="13" t="n">
        <f aca="false">C26/31/24*1.6</f>
        <v>2.13548387096774</v>
      </c>
    </row>
    <row r="27" customFormat="false" ht="15" hidden="false" customHeight="false" outlineLevel="0" collapsed="false">
      <c r="A27" s="4" t="s">
        <v>38</v>
      </c>
      <c r="B27" s="10" t="n">
        <v>0.586</v>
      </c>
      <c r="C27" s="11" t="n">
        <f aca="false">ROUND($B$17*B27,0)</f>
        <v>1136</v>
      </c>
      <c r="D27" s="12" t="n">
        <f aca="false">39*$B$16</f>
        <v>37.4595</v>
      </c>
      <c r="E27" s="11" t="n">
        <f aca="false">C27*D27/100*1.25</f>
        <v>531.9249</v>
      </c>
      <c r="F27" s="11" t="n">
        <f aca="false">C27*$B$8/100*1.25</f>
        <v>151.798</v>
      </c>
      <c r="G27" s="11" t="n">
        <f aca="false">$B$9*1.25</f>
        <v>49</v>
      </c>
      <c r="H27" s="11" t="n">
        <f aca="false">$B$12*1.25</f>
        <v>493.75</v>
      </c>
      <c r="I27" s="11" t="n">
        <f aca="false">C27*$B$13/100*1.25</f>
        <v>99.4</v>
      </c>
      <c r="J27" s="11" t="n">
        <f aca="false">C27*$B$15/100*1.25</f>
        <v>511.2</v>
      </c>
      <c r="K27" s="11" t="n">
        <f aca="false">$B$35*$B$14*1.25</f>
        <v>641.875</v>
      </c>
      <c r="L27" s="11" t="n">
        <f aca="false">SUM(E27:K27)</f>
        <v>2478.9479</v>
      </c>
      <c r="M27" s="13" t="n">
        <f aca="false">C27/31/24*1.6</f>
        <v>2.44301075268817</v>
      </c>
    </row>
    <row r="28" customFormat="false" ht="15" hidden="false" customHeight="false" outlineLevel="0" collapsed="false">
      <c r="A28" s="4" t="s">
        <v>39</v>
      </c>
      <c r="B28" s="10" t="n">
        <v>0.7996</v>
      </c>
      <c r="C28" s="11" t="n">
        <f aca="false">ROUND($B$17*B28,0)</f>
        <v>1550</v>
      </c>
      <c r="D28" s="12" t="n">
        <f aca="false">42*$B$16</f>
        <v>40.341</v>
      </c>
      <c r="E28" s="11" t="n">
        <f aca="false">C28*D28/100*1.25</f>
        <v>781.606875</v>
      </c>
      <c r="F28" s="11" t="n">
        <f aca="false">C28*$B$8/100*1.25</f>
        <v>207.11875</v>
      </c>
      <c r="G28" s="11" t="n">
        <f aca="false">$B$9*1.25</f>
        <v>49</v>
      </c>
      <c r="H28" s="11" t="n">
        <f aca="false">$B$12*1.25</f>
        <v>493.75</v>
      </c>
      <c r="I28" s="11" t="n">
        <f aca="false">C28*$B$13/100*1.25</f>
        <v>135.625</v>
      </c>
      <c r="J28" s="11" t="n">
        <f aca="false">C28*$B$15/100*1.25</f>
        <v>697.5</v>
      </c>
      <c r="K28" s="11" t="n">
        <f aca="false">$B$35*$B$14*1.25</f>
        <v>641.875</v>
      </c>
      <c r="L28" s="11" t="n">
        <f aca="false">SUM(E28:K28)</f>
        <v>3006.475625</v>
      </c>
      <c r="M28" s="13" t="n">
        <f aca="false">C28/30/24*1.6</f>
        <v>3.44444444444444</v>
      </c>
    </row>
    <row r="29" customFormat="false" ht="15" hidden="false" customHeight="false" outlineLevel="0" collapsed="false">
      <c r="A29" s="4" t="s">
        <v>40</v>
      </c>
      <c r="B29" s="10" t="n">
        <v>1.0756</v>
      </c>
      <c r="C29" s="11" t="n">
        <f aca="false">ROUND($B$17*B29,0)</f>
        <v>2086</v>
      </c>
      <c r="D29" s="12" t="n">
        <f aca="false">55*$B$16</f>
        <v>52.8275</v>
      </c>
      <c r="E29" s="11" t="n">
        <f aca="false">C29*D29/100*1.25</f>
        <v>1377.4770625</v>
      </c>
      <c r="F29" s="11" t="n">
        <f aca="false">C29*$B$8/100*1.25</f>
        <v>278.74175</v>
      </c>
      <c r="G29" s="11" t="n">
        <f aca="false">$B$9*1.25</f>
        <v>49</v>
      </c>
      <c r="H29" s="11" t="n">
        <f aca="false">$B$12*1.25</f>
        <v>493.75</v>
      </c>
      <c r="I29" s="11" t="n">
        <f aca="false">C29*$B$13/100*1.25</f>
        <v>182.525</v>
      </c>
      <c r="J29" s="11" t="n">
        <f aca="false">C29*$B$15/100*1.25</f>
        <v>938.7</v>
      </c>
      <c r="K29" s="11" t="n">
        <f aca="false">$B$35*$B$14*1.25</f>
        <v>641.875</v>
      </c>
      <c r="L29" s="11" t="n">
        <f aca="false">SUM(E29:K29)</f>
        <v>3962.0688125</v>
      </c>
      <c r="M29" s="13" t="n">
        <f aca="false">C29/31/24*1.9</f>
        <v>5.32715053763441</v>
      </c>
    </row>
    <row r="30" customFormat="false" ht="15" hidden="false" customHeight="false" outlineLevel="0" collapsed="false">
      <c r="A30" s="4" t="s">
        <v>41</v>
      </c>
      <c r="B30" s="10" t="n">
        <v>1.2513</v>
      </c>
      <c r="C30" s="11" t="n">
        <f aca="false">ROUND($B$17*B30,0)</f>
        <v>2426</v>
      </c>
      <c r="D30" s="12" t="n">
        <f aca="false">60*$B$16</f>
        <v>57.63</v>
      </c>
      <c r="E30" s="11" t="n">
        <f aca="false">C30*D30/100*1.25</f>
        <v>1747.62975</v>
      </c>
      <c r="F30" s="11" t="n">
        <f aca="false">C30*$B$8/100*1.25</f>
        <v>324.17425</v>
      </c>
      <c r="G30" s="11" t="n">
        <f aca="false">$B$9*1.25</f>
        <v>49</v>
      </c>
      <c r="H30" s="11" t="n">
        <f aca="false">$B$12*1.25</f>
        <v>493.75</v>
      </c>
      <c r="I30" s="11" t="n">
        <f aca="false">C30*$B$13/100*1.25</f>
        <v>212.275</v>
      </c>
      <c r="J30" s="11" t="n">
        <f aca="false">C30*$B$15/100*1.25</f>
        <v>1091.7</v>
      </c>
      <c r="K30" s="11" t="n">
        <f aca="false">$B$35*$B$14*1.25</f>
        <v>641.875</v>
      </c>
      <c r="L30" s="11" t="n">
        <f aca="false">SUM(E30:K30)</f>
        <v>4560.404</v>
      </c>
      <c r="M30" s="13" t="n">
        <f aca="false">C30/30/24*1.9</f>
        <v>6.40194444444444</v>
      </c>
    </row>
    <row r="31" customFormat="false" ht="15" hidden="false" customHeight="false" outlineLevel="0" collapsed="false">
      <c r="A31" s="4" t="s">
        <v>42</v>
      </c>
      <c r="B31" s="10" t="n">
        <v>1.3987</v>
      </c>
      <c r="C31" s="11" t="n">
        <f aca="false">ROUND($B$17*B31,0)</f>
        <v>2712</v>
      </c>
      <c r="D31" s="12" t="n">
        <f aca="false">45*$B$16</f>
        <v>43.2225</v>
      </c>
      <c r="E31" s="11" t="n">
        <f aca="false">C31*D31/100*1.25</f>
        <v>1465.24275</v>
      </c>
      <c r="F31" s="11" t="n">
        <f aca="false">C31*$B$8/100*1.25</f>
        <v>362.391</v>
      </c>
      <c r="G31" s="11" t="n">
        <f aca="false">$B$9*1.25</f>
        <v>49</v>
      </c>
      <c r="H31" s="11" t="n">
        <f aca="false">$B$12*1.25</f>
        <v>493.75</v>
      </c>
      <c r="I31" s="11" t="n">
        <f aca="false">C31*$B$13/100*1.25</f>
        <v>237.3</v>
      </c>
      <c r="J31" s="11" t="n">
        <f aca="false">C31*$B$15/100*1.25</f>
        <v>1220.4</v>
      </c>
      <c r="K31" s="11" t="n">
        <f aca="false">$B$35*$B$14*1.25</f>
        <v>641.875</v>
      </c>
      <c r="L31" s="11" t="n">
        <f aca="false">SUM(E31:K31)</f>
        <v>4469.95875</v>
      </c>
      <c r="M31" s="13" t="n">
        <f aca="false">C31/31/24*1.9</f>
        <v>6.9258064516129</v>
      </c>
    </row>
    <row r="32" customFormat="false" ht="15" hidden="false" customHeight="false" outlineLevel="0" collapsed="false">
      <c r="A32" s="19" t="s">
        <v>43</v>
      </c>
      <c r="B32" s="20"/>
      <c r="C32" s="21" t="n">
        <f aca="false">SUM(C20:C31)</f>
        <v>23268</v>
      </c>
      <c r="D32" s="20"/>
      <c r="E32" s="21" t="n">
        <f aca="false">SUM(E20:E31)</f>
        <v>18672.744325</v>
      </c>
      <c r="F32" s="21" t="n">
        <f aca="false">SUM(F20:F31)</f>
        <v>3109.1865</v>
      </c>
      <c r="G32" s="21" t="n">
        <f aca="false">SUM(G20:G31)</f>
        <v>588</v>
      </c>
      <c r="H32" s="21" t="n">
        <f aca="false">SUM(H20:H31)</f>
        <v>5925</v>
      </c>
      <c r="I32" s="21" t="n">
        <f aca="false">SUM(I20:I31)</f>
        <v>2035.95</v>
      </c>
      <c r="J32" s="21" t="n">
        <f aca="false">SUM(J20:J31)</f>
        <v>10470.6</v>
      </c>
      <c r="K32" s="21" t="n">
        <f aca="false">SUM(K20:K31)</f>
        <v>7702.5</v>
      </c>
      <c r="L32" s="21" t="n">
        <f aca="false">SUM(L20:L31)</f>
        <v>48503.980825</v>
      </c>
      <c r="M32" s="20"/>
    </row>
    <row r="34" customFormat="false" ht="15" hidden="false" customHeight="false" outlineLevel="0" collapsed="false">
      <c r="A34" s="7" t="s">
        <v>44</v>
      </c>
      <c r="B34" s="7"/>
      <c r="C34" s="7"/>
      <c r="D34" s="7"/>
    </row>
    <row r="35" customFormat="false" ht="15" hidden="false" customHeight="false" outlineLevel="0" collapsed="false">
      <c r="A35" s="8" t="s">
        <v>45</v>
      </c>
      <c r="B35" s="22" t="n">
        <f aca="false">ROUND((LARGE(M20:M31,1)+LARGE(M20:M31,2)+LARGE(M20:M31,3))/3,1)</f>
        <v>7.9</v>
      </c>
      <c r="C35" s="6" t="s">
        <v>46</v>
      </c>
    </row>
    <row r="36" customFormat="false" ht="15" hidden="false" customHeight="false" outlineLevel="0" collapsed="false">
      <c r="A36" s="4" t="s">
        <v>47</v>
      </c>
      <c r="B36" s="12" t="n">
        <f aca="false">LARGE(M20:M31,1)</f>
        <v>9.64419642857143</v>
      </c>
      <c r="C36" s="6" t="s">
        <v>46</v>
      </c>
    </row>
    <row r="37" customFormat="false" ht="15" hidden="false" customHeight="false" outlineLevel="0" collapsed="false">
      <c r="A37" s="4" t="s">
        <v>48</v>
      </c>
      <c r="B37" s="12" t="n">
        <f aca="false">LARGE(M20:M31,2)</f>
        <v>7.18884408602151</v>
      </c>
      <c r="C37" s="6" t="s">
        <v>46</v>
      </c>
    </row>
    <row r="38" customFormat="false" ht="15" hidden="false" customHeight="false" outlineLevel="0" collapsed="false">
      <c r="A38" s="4" t="s">
        <v>49</v>
      </c>
      <c r="B38" s="12" t="n">
        <f aca="false">LARGE(M20:M31,3)</f>
        <v>6.9258064516129</v>
      </c>
      <c r="C38" s="6" t="s">
        <v>46</v>
      </c>
    </row>
    <row r="40" customFormat="false" ht="15" hidden="false" customHeight="false" outlineLevel="0" collapsed="false">
      <c r="A40" s="3" t="s">
        <v>50</v>
      </c>
      <c r="B40" s="3"/>
      <c r="C40" s="3"/>
      <c r="D40" s="3"/>
    </row>
    <row r="41" customFormat="false" ht="15" hidden="false" customHeight="false" outlineLevel="0" collapsed="false">
      <c r="A41" s="4" t="s">
        <v>22</v>
      </c>
      <c r="B41" s="11" t="n">
        <f aca="false">E32</f>
        <v>18672.744325</v>
      </c>
      <c r="C41" s="6" t="s">
        <v>51</v>
      </c>
    </row>
    <row r="42" customFormat="false" ht="15" hidden="false" customHeight="false" outlineLevel="0" collapsed="false">
      <c r="A42" s="4" t="s">
        <v>52</v>
      </c>
      <c r="B42" s="11" t="n">
        <f aca="false">F32</f>
        <v>3109.1865</v>
      </c>
      <c r="C42" s="6" t="s">
        <v>51</v>
      </c>
    </row>
    <row r="43" customFormat="false" ht="15" hidden="false" customHeight="false" outlineLevel="0" collapsed="false">
      <c r="A43" s="4" t="s">
        <v>53</v>
      </c>
      <c r="B43" s="11" t="n">
        <f aca="false">G32</f>
        <v>588</v>
      </c>
      <c r="C43" s="6" t="s">
        <v>51</v>
      </c>
    </row>
    <row r="44" customFormat="false" ht="15" hidden="false" customHeight="false" outlineLevel="0" collapsed="false">
      <c r="A44" s="4" t="s">
        <v>54</v>
      </c>
      <c r="B44" s="11" t="n">
        <f aca="false">H32</f>
        <v>5925</v>
      </c>
      <c r="C44" s="6" t="s">
        <v>51</v>
      </c>
    </row>
    <row r="45" customFormat="false" ht="15" hidden="false" customHeight="false" outlineLevel="0" collapsed="false">
      <c r="A45" s="4" t="s">
        <v>55</v>
      </c>
      <c r="B45" s="11" t="n">
        <f aca="false">I32</f>
        <v>2035.95</v>
      </c>
      <c r="C45" s="6" t="s">
        <v>51</v>
      </c>
    </row>
    <row r="46" customFormat="false" ht="15" hidden="false" customHeight="false" outlineLevel="0" collapsed="false">
      <c r="A46" s="4" t="s">
        <v>56</v>
      </c>
      <c r="B46" s="11" t="n">
        <f aca="false">J32</f>
        <v>10470.6</v>
      </c>
      <c r="C46" s="6" t="s">
        <v>51</v>
      </c>
    </row>
    <row r="47" customFormat="false" ht="15" hidden="false" customHeight="false" outlineLevel="0" collapsed="false">
      <c r="A47" s="4" t="s">
        <v>57</v>
      </c>
      <c r="B47" s="11" t="n">
        <f aca="false">K32</f>
        <v>7702.5</v>
      </c>
      <c r="C47" s="6" t="s">
        <v>51</v>
      </c>
    </row>
    <row r="48" customFormat="false" ht="15" hidden="false" customHeight="false" outlineLevel="0" collapsed="false">
      <c r="A48" s="23" t="s">
        <v>58</v>
      </c>
      <c r="B48" s="24" t="n">
        <f aca="false">L32</f>
        <v>48503.980825</v>
      </c>
      <c r="C48" s="25" t="s">
        <v>59</v>
      </c>
    </row>
    <row r="50" customFormat="false" ht="15" hidden="false" customHeight="false" outlineLevel="0" collapsed="false">
      <c r="A50" s="26" t="s">
        <v>60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customFormat="false" ht="15" hidden="false" customHeight="false" outlineLevel="0" collapsed="false">
      <c r="A51" s="26" t="s">
        <v>61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</sheetData>
  <mergeCells count="8">
    <mergeCell ref="A1:N1"/>
    <mergeCell ref="A2:N2"/>
    <mergeCell ref="A4:D4"/>
    <mergeCell ref="A11:D11"/>
    <mergeCell ref="A34:D34"/>
    <mergeCell ref="A40:D40"/>
    <mergeCell ref="A50:L50"/>
    <mergeCell ref="A51:L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2026-04-09T21:26:04Z</dcterms:created>
  <dc:creator>openpyxl</dc:creator>
  <dc:description/>
  <dc:language>en-US</dc:language>
  <cp:lastModifiedBy/>
  <dcterms:modified xsi:type="dcterms:W3CDTF">2026-04-09T21:26:04Z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