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usta\Documents\energy-buddy\"/>
    </mc:Choice>
  </mc:AlternateContent>
  <xr:revisionPtr revIDLastSave="0" documentId="13_ncr:1_{E23D55C8-967B-4233-AFF2-4F363741E147}" xr6:coauthVersionLast="47" xr6:coauthVersionMax="47" xr10:uidLastSave="{00000000-0000-0000-0000-000000000000}"/>
  <bookViews>
    <workbookView xWindow="-98" yWindow="-98" windowWidth="23236" windowHeight="13875" tabRatio="500" xr2:uid="{00000000-000D-0000-FFFF-FFFF00000000}"/>
  </bookViews>
  <sheets>
    <sheet name="Kostnadsanaly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1" i="1" l="1"/>
  <c r="L22" i="1"/>
  <c r="L23" i="1"/>
  <c r="L24" i="1"/>
  <c r="L25" i="1"/>
  <c r="L26" i="1"/>
  <c r="L27" i="1"/>
  <c r="L28" i="1"/>
  <c r="L29" i="1"/>
  <c r="L30" i="1"/>
  <c r="L31" i="1"/>
  <c r="L32" i="1"/>
  <c r="L20" i="1"/>
  <c r="H31" i="1"/>
  <c r="G31" i="1"/>
  <c r="D31" i="1"/>
  <c r="H30" i="1"/>
  <c r="G30" i="1"/>
  <c r="D30" i="1"/>
  <c r="H29" i="1"/>
  <c r="G29" i="1"/>
  <c r="D29" i="1"/>
  <c r="H28" i="1"/>
  <c r="G28" i="1"/>
  <c r="D28" i="1"/>
  <c r="H27" i="1"/>
  <c r="G27" i="1"/>
  <c r="D27" i="1"/>
  <c r="H26" i="1"/>
  <c r="G26" i="1"/>
  <c r="D26" i="1"/>
  <c r="H25" i="1"/>
  <c r="G25" i="1"/>
  <c r="D25" i="1"/>
  <c r="H24" i="1"/>
  <c r="G24" i="1"/>
  <c r="D24" i="1"/>
  <c r="H23" i="1"/>
  <c r="G23" i="1"/>
  <c r="D23" i="1"/>
  <c r="H22" i="1"/>
  <c r="G22" i="1"/>
  <c r="D22" i="1"/>
  <c r="H21" i="1"/>
  <c r="G21" i="1"/>
  <c r="D21" i="1"/>
  <c r="H20" i="1"/>
  <c r="G20" i="1"/>
  <c r="D20" i="1"/>
  <c r="B17" i="1"/>
  <c r="C20" i="1" s="1"/>
  <c r="H32" i="1" l="1"/>
  <c r="B44" i="1" s="1"/>
  <c r="G32" i="1"/>
  <c r="B43" i="1" s="1"/>
  <c r="F20" i="1"/>
  <c r="N20" i="1"/>
  <c r="I20" i="1"/>
  <c r="E20" i="1"/>
  <c r="J20" i="1"/>
  <c r="C25" i="1"/>
  <c r="C27" i="1"/>
  <c r="C22" i="1"/>
  <c r="C26" i="1"/>
  <c r="C28" i="1"/>
  <c r="C30" i="1"/>
  <c r="C31" i="1"/>
  <c r="C24" i="1"/>
  <c r="C21" i="1"/>
  <c r="C23" i="1"/>
  <c r="C29" i="1"/>
  <c r="F29" i="1" l="1"/>
  <c r="N29" i="1"/>
  <c r="J29" i="1"/>
  <c r="I29" i="1"/>
  <c r="E29" i="1"/>
  <c r="J23" i="1"/>
  <c r="I23" i="1"/>
  <c r="N23" i="1"/>
  <c r="F23" i="1"/>
  <c r="E23" i="1"/>
  <c r="J21" i="1"/>
  <c r="F21" i="1"/>
  <c r="E21" i="1"/>
  <c r="N21" i="1"/>
  <c r="I21" i="1"/>
  <c r="J24" i="1"/>
  <c r="N24" i="1"/>
  <c r="I24" i="1"/>
  <c r="F24" i="1"/>
  <c r="E24" i="1"/>
  <c r="N31" i="1"/>
  <c r="I31" i="1"/>
  <c r="E31" i="1"/>
  <c r="J31" i="1"/>
  <c r="F31" i="1"/>
  <c r="N30" i="1"/>
  <c r="E30" i="1"/>
  <c r="J30" i="1"/>
  <c r="F30" i="1"/>
  <c r="I30" i="1"/>
  <c r="F28" i="1"/>
  <c r="I28" i="1"/>
  <c r="N28" i="1"/>
  <c r="E28" i="1"/>
  <c r="J28" i="1"/>
  <c r="N26" i="1"/>
  <c r="I26" i="1"/>
  <c r="J26" i="1"/>
  <c r="F26" i="1"/>
  <c r="E26" i="1"/>
  <c r="N22" i="1"/>
  <c r="I22" i="1"/>
  <c r="E22" i="1"/>
  <c r="J22" i="1"/>
  <c r="F22" i="1"/>
  <c r="J27" i="1"/>
  <c r="F27" i="1"/>
  <c r="E27" i="1"/>
  <c r="N27" i="1"/>
  <c r="I27" i="1"/>
  <c r="F25" i="1"/>
  <c r="J25" i="1"/>
  <c r="I25" i="1"/>
  <c r="N25" i="1"/>
  <c r="E25" i="1"/>
  <c r="C32" i="1"/>
  <c r="B37" i="1" l="1"/>
  <c r="J32" i="1"/>
  <c r="B46" i="1" s="1"/>
  <c r="I32" i="1"/>
  <c r="B45" i="1" s="1"/>
  <c r="F32" i="1"/>
  <c r="B42" i="1" s="1"/>
  <c r="B36" i="1"/>
  <c r="B38" i="1"/>
  <c r="E32" i="1"/>
  <c r="B41" i="1" s="1"/>
  <c r="B35" i="1"/>
  <c r="K25" i="1" l="1"/>
  <c r="M25" i="1" s="1"/>
  <c r="K30" i="1"/>
  <c r="M30" i="1" s="1"/>
  <c r="K21" i="1"/>
  <c r="M21" i="1" s="1"/>
  <c r="K26" i="1"/>
  <c r="M26" i="1" s="1"/>
  <c r="K24" i="1"/>
  <c r="M24" i="1" s="1"/>
  <c r="K27" i="1"/>
  <c r="M27" i="1" s="1"/>
  <c r="K28" i="1"/>
  <c r="M28" i="1" s="1"/>
  <c r="K22" i="1"/>
  <c r="M22" i="1" s="1"/>
  <c r="K31" i="1"/>
  <c r="M31" i="1" s="1"/>
  <c r="K20" i="1"/>
  <c r="K29" i="1"/>
  <c r="M29" i="1" s="1"/>
  <c r="K23" i="1"/>
  <c r="M23" i="1" s="1"/>
  <c r="K32" i="1" l="1"/>
  <c r="B47" i="1" s="1"/>
  <c r="M20" i="1"/>
  <c r="M32" i="1" s="1"/>
  <c r="B48" i="1" s="1"/>
</calcChain>
</file>

<file path=xl/sharedStrings.xml><?xml version="1.0" encoding="utf-8"?>
<sst xmlns="http://schemas.openxmlformats.org/spreadsheetml/2006/main" count="80" uniqueCount="63">
  <si>
    <t>Kostnadsanalys — Green Hero elhandel, februari 2026</t>
  </si>
  <si>
    <t>Baserat på faktura 29475838 • Dalvägen 10, Täby • SE3 • Ellevio elnät</t>
  </si>
  <si>
    <t>INDATA FRÅN FAKTURA</t>
  </si>
  <si>
    <t>Beräknad årsförbrukning</t>
  </si>
  <si>
    <t>kWh</t>
  </si>
  <si>
    <t>Februari förbrukning</t>
  </si>
  <si>
    <t>Spotpris feb (exkl moms)</t>
  </si>
  <si>
    <t>öre/kWh</t>
  </si>
  <si>
    <t>Påslag (rörligt + fast)</t>
  </si>
  <si>
    <t>Månadsavgift elhandel (exkl moms)</t>
  </si>
  <si>
    <t>kr/mån</t>
  </si>
  <si>
    <t>ELNÄT (ELLEVIO, FRÅN DATABAS)</t>
  </si>
  <si>
    <t>Fast nätavgift (exkl moms)</t>
  </si>
  <si>
    <t>Överföringsavgift (exkl moms)</t>
  </si>
  <si>
    <t>Effektavgift (exkl moms)</t>
  </si>
  <si>
    <t>kr/kW/mån</t>
  </si>
  <si>
    <t>Energiskatt (exkl moms)</t>
  </si>
  <si>
    <t>Spotpriskvot (smartness)</t>
  </si>
  <si>
    <t>kWh/månad (snitt)</t>
  </si>
  <si>
    <t>Månad</t>
  </si>
  <si>
    <t>Säsongs-
faktor</t>
  </si>
  <si>
    <t>Spot
(öre exkl)</t>
  </si>
  <si>
    <t>Spotenergi</t>
  </si>
  <si>
    <t>Elhandel
påslag</t>
  </si>
  <si>
    <t>Elhandel
avgift</t>
  </si>
  <si>
    <t>Nätavgift
(fast)</t>
  </si>
  <si>
    <t>Överföring</t>
  </si>
  <si>
    <t>Energi-
skatt</t>
  </si>
  <si>
    <t>Effekt-
avgift</t>
  </si>
  <si>
    <t>TOTAL
(inkl moms)</t>
  </si>
  <si>
    <t>Peak
(kW)</t>
  </si>
  <si>
    <t>Januari</t>
  </si>
  <si>
    <t>Februari</t>
  </si>
  <si>
    <t>Mars</t>
  </si>
  <si>
    <t>April</t>
  </si>
  <si>
    <t>Maj</t>
  </si>
  <si>
    <t>Juni</t>
  </si>
  <si>
    <t>Juli</t>
  </si>
  <si>
    <t>Augusti</t>
  </si>
  <si>
    <t>September</t>
  </si>
  <si>
    <t>Oktober</t>
  </si>
  <si>
    <t>November</t>
  </si>
  <si>
    <t>December</t>
  </si>
  <si>
    <t>TOTALT ÅR</t>
  </si>
  <si>
    <t>EFFEKTTOPP-BERÄKNING (simulerad)</t>
  </si>
  <si>
    <t>Effektiv peak (top-3 snitt)</t>
  </si>
  <si>
    <t>kW</t>
  </si>
  <si>
    <t>Top 1</t>
  </si>
  <si>
    <t>Top 2</t>
  </si>
  <si>
    <t>Top 3</t>
  </si>
  <si>
    <t>SAMMANFATTNING</t>
  </si>
  <si>
    <t>kr</t>
  </si>
  <si>
    <t>Elhandelspåslag</t>
  </si>
  <si>
    <t>Elhandelsavgift</t>
  </si>
  <si>
    <t>Nätavgift (fast)</t>
  </si>
  <si>
    <t>Överföringsavgift</t>
  </si>
  <si>
    <t>Energiskatt</t>
  </si>
  <si>
    <t>Effektavgift</t>
  </si>
  <si>
    <t>TOTAL ÅRSKOSTNAD</t>
  </si>
  <si>
    <t>kr inkl moms</t>
  </si>
  <si>
    <t>⚠ Effektavgiften baseras på simulerade toppar. Med elnätsfaktura (faktisk peak 8,98 kW) blir den ~8 755 kr/år istället.</t>
  </si>
  <si>
    <t>⚠ Spotpriserna är systemets SE3-snittpriser per månad. Verkliga priser varierar år till år.</t>
  </si>
  <si>
    <t>Total elnätsfaktura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</si>
</sst>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3" x14ac:knownFonts="1">
    <font>
      <sz val="11"/>
      <color theme="1"/>
      <name val="Calibri"/>
      <family val="2"/>
      <charset val="1"/>
    </font>
    <font>
      <b/>
      <sz val="14"/>
      <color rgb="FF1B4332"/>
      <name val="Arial"/>
      <charset val="1"/>
    </font>
    <font>
      <sz val="10"/>
      <color rgb="FF666666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9"/>
      <color rgb="FF888888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b/>
      <sz val="11"/>
      <name val="Arial"/>
      <charset val="1"/>
    </font>
    <font>
      <b/>
      <sz val="12"/>
      <color rgb="FF1B4332"/>
      <name val="Arial"/>
      <charset val="1"/>
    </font>
    <font>
      <sz val="10"/>
      <color rgb="FF1B4332"/>
      <name val="Arial"/>
      <charset val="1"/>
    </font>
    <font>
      <i/>
      <sz val="9"/>
      <color rgb="FFCC660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4332"/>
        <bgColor rgb="FF333300"/>
      </patternFill>
    </fill>
    <fill>
      <patternFill patternType="solid">
        <fgColor rgb="FFFFF3CD"/>
        <bgColor rgb="FFFFF8E1"/>
      </patternFill>
    </fill>
    <fill>
      <patternFill patternType="solid">
        <fgColor rgb="FF2D6A4F"/>
        <bgColor rgb="FF666666"/>
      </patternFill>
    </fill>
    <fill>
      <patternFill patternType="solid">
        <fgColor rgb="FFFFF8E1"/>
        <bgColor rgb="FFFFF3CD"/>
      </patternFill>
    </fill>
    <fill>
      <patternFill patternType="solid">
        <fgColor rgb="FFD8F3DC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B4332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2" fillId="0" borderId="0" xfId="0" applyFont="1"/>
    <xf numFmtId="0" fontId="3" fillId="4" borderId="0" xfId="0" applyFont="1" applyFill="1"/>
    <xf numFmtId="0" fontId="3" fillId="2" borderId="0" xfId="0" applyFont="1" applyFill="1"/>
    <xf numFmtId="0" fontId="2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5" fillId="3" borderId="0" xfId="0" applyFont="1" applyFill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vertical="center" wrapText="1"/>
    </xf>
    <xf numFmtId="164" fontId="4" fillId="0" borderId="0" xfId="0" applyNumberFormat="1" applyFont="1"/>
    <xf numFmtId="3" fontId="4" fillId="0" borderId="0" xfId="0" applyNumberFormat="1" applyFont="1"/>
    <xf numFmtId="165" fontId="4" fillId="0" borderId="0" xfId="0" applyNumberFormat="1" applyFont="1"/>
    <xf numFmtId="165" fontId="6" fillId="0" borderId="0" xfId="0" applyNumberFormat="1" applyFont="1"/>
    <xf numFmtId="0" fontId="7" fillId="5" borderId="0" xfId="0" applyFont="1" applyFill="1"/>
    <xf numFmtId="164" fontId="4" fillId="5" borderId="0" xfId="0" applyNumberFormat="1" applyFont="1" applyFill="1"/>
    <xf numFmtId="3" fontId="4" fillId="5" borderId="0" xfId="0" applyNumberFormat="1" applyFont="1" applyFill="1"/>
    <xf numFmtId="165" fontId="4" fillId="5" borderId="0" xfId="0" applyNumberFormat="1" applyFont="1" applyFill="1"/>
    <xf numFmtId="165" fontId="6" fillId="5" borderId="0" xfId="0" applyNumberFormat="1" applyFont="1" applyFill="1"/>
    <xf numFmtId="0" fontId="9" fillId="6" borderId="1" xfId="0" applyFont="1" applyFill="1" applyBorder="1"/>
    <xf numFmtId="0" fontId="0" fillId="6" borderId="1" xfId="0" applyFill="1" applyBorder="1"/>
    <xf numFmtId="3" fontId="9" fillId="6" borderId="1" xfId="0" applyNumberFormat="1" applyFont="1" applyFill="1" applyBorder="1"/>
    <xf numFmtId="0" fontId="7" fillId="3" borderId="0" xfId="0" applyFont="1" applyFill="1"/>
    <xf numFmtId="0" fontId="10" fillId="6" borderId="0" xfId="0" applyFont="1" applyFill="1"/>
    <xf numFmtId="3" fontId="10" fillId="6" borderId="0" xfId="0" applyNumberFormat="1" applyFont="1" applyFill="1"/>
    <xf numFmtId="0" fontId="1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88888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F3DC"/>
      <rgbColor rgb="FFFFF3C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C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1"/>
  <sheetViews>
    <sheetView tabSelected="1" topLeftCell="A4" zoomScaleNormal="100" workbookViewId="0">
      <selection activeCell="L20" sqref="L20:L32"/>
    </sheetView>
  </sheetViews>
  <sheetFormatPr defaultColWidth="8.6640625" defaultRowHeight="14.25" x14ac:dyDescent="0.45"/>
  <cols>
    <col min="1" max="1" width="18" customWidth="1"/>
    <col min="2" max="16" width="13" customWidth="1"/>
  </cols>
  <sheetData>
    <row r="1" spans="1:15" ht="17.649999999999999" x14ac:dyDescent="0.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4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4" spans="1:15" x14ac:dyDescent="0.45">
      <c r="A4" s="3" t="s">
        <v>2</v>
      </c>
      <c r="B4" s="3"/>
      <c r="C4" s="3"/>
      <c r="D4" s="3"/>
    </row>
    <row r="5" spans="1:15" x14ac:dyDescent="0.45">
      <c r="A5" s="6" t="s">
        <v>3</v>
      </c>
      <c r="B5" s="7">
        <v>23265</v>
      </c>
      <c r="C5" s="8" t="s">
        <v>4</v>
      </c>
    </row>
    <row r="6" spans="1:15" x14ac:dyDescent="0.45">
      <c r="A6" s="6" t="s">
        <v>5</v>
      </c>
      <c r="B6" s="7">
        <v>3410.67</v>
      </c>
      <c r="C6" s="8" t="s">
        <v>4</v>
      </c>
    </row>
    <row r="7" spans="1:15" x14ac:dyDescent="0.45">
      <c r="A7" s="6" t="s">
        <v>6</v>
      </c>
      <c r="B7" s="7">
        <v>105.65</v>
      </c>
      <c r="C7" s="8" t="s">
        <v>7</v>
      </c>
    </row>
    <row r="8" spans="1:15" x14ac:dyDescent="0.45">
      <c r="A8" s="6" t="s">
        <v>8</v>
      </c>
      <c r="B8" s="7">
        <v>10.69</v>
      </c>
      <c r="C8" s="8" t="s">
        <v>7</v>
      </c>
    </row>
    <row r="9" spans="1:15" x14ac:dyDescent="0.45">
      <c r="A9" s="6" t="s">
        <v>9</v>
      </c>
      <c r="B9" s="7">
        <v>39.200000000000003</v>
      </c>
      <c r="C9" s="8" t="s">
        <v>10</v>
      </c>
    </row>
    <row r="11" spans="1:15" x14ac:dyDescent="0.45">
      <c r="A11" s="2" t="s">
        <v>11</v>
      </c>
      <c r="B11" s="2"/>
      <c r="C11" s="2"/>
      <c r="D11" s="2"/>
    </row>
    <row r="12" spans="1:15" x14ac:dyDescent="0.45">
      <c r="A12" s="6" t="s">
        <v>12</v>
      </c>
      <c r="B12" s="7">
        <v>395</v>
      </c>
      <c r="C12" s="8" t="s">
        <v>10</v>
      </c>
    </row>
    <row r="13" spans="1:15" x14ac:dyDescent="0.45">
      <c r="A13" s="6" t="s">
        <v>13</v>
      </c>
      <c r="B13" s="7">
        <v>7</v>
      </c>
      <c r="C13" s="8" t="s">
        <v>7</v>
      </c>
    </row>
    <row r="14" spans="1:15" x14ac:dyDescent="0.45">
      <c r="A14" s="6" t="s">
        <v>14</v>
      </c>
      <c r="B14" s="7">
        <v>65</v>
      </c>
      <c r="C14" s="8" t="s">
        <v>15</v>
      </c>
    </row>
    <row r="15" spans="1:15" x14ac:dyDescent="0.45">
      <c r="A15" s="6" t="s">
        <v>16</v>
      </c>
      <c r="B15" s="7">
        <v>36</v>
      </c>
      <c r="C15" s="8" t="s">
        <v>7</v>
      </c>
    </row>
    <row r="16" spans="1:15" x14ac:dyDescent="0.45">
      <c r="A16" s="6" t="s">
        <v>17</v>
      </c>
      <c r="B16" s="7">
        <v>0.96050000000000002</v>
      </c>
      <c r="C16" s="8"/>
    </row>
    <row r="17" spans="1:14" x14ac:dyDescent="0.45">
      <c r="A17" s="6" t="s">
        <v>18</v>
      </c>
      <c r="B17" s="9">
        <f>ROUND(B5/12,0)</f>
        <v>1939</v>
      </c>
      <c r="C17" s="8" t="s">
        <v>4</v>
      </c>
    </row>
    <row r="19" spans="1:14" ht="34.5" customHeight="1" x14ac:dyDescent="0.45">
      <c r="A19" s="10" t="s">
        <v>19</v>
      </c>
      <c r="B19" s="10" t="s">
        <v>20</v>
      </c>
      <c r="C19" s="10" t="s">
        <v>4</v>
      </c>
      <c r="D19" s="10" t="s">
        <v>21</v>
      </c>
      <c r="E19" s="10" t="s">
        <v>22</v>
      </c>
      <c r="F19" s="10" t="s">
        <v>23</v>
      </c>
      <c r="G19" s="10" t="s">
        <v>24</v>
      </c>
      <c r="H19" s="10" t="s">
        <v>25</v>
      </c>
      <c r="I19" s="10" t="s">
        <v>26</v>
      </c>
      <c r="J19" s="10" t="s">
        <v>27</v>
      </c>
      <c r="K19" s="10" t="s">
        <v>28</v>
      </c>
      <c r="L19" s="10" t="s">
        <v>62</v>
      </c>
      <c r="M19" s="10" t="s">
        <v>29</v>
      </c>
      <c r="N19" s="10" t="s">
        <v>30</v>
      </c>
    </row>
    <row r="20" spans="1:14" x14ac:dyDescent="0.45">
      <c r="A20" s="6" t="s">
        <v>31</v>
      </c>
      <c r="B20" s="11">
        <v>1.452</v>
      </c>
      <c r="C20" s="12">
        <f t="shared" ref="C20:C31" si="0">ROUND($B$17*B20,0)</f>
        <v>2815</v>
      </c>
      <c r="D20" s="13">
        <f>108*$B$16</f>
        <v>103.73400000000001</v>
      </c>
      <c r="E20" s="12">
        <f t="shared" ref="E20:E31" si="1">C20*D20/100*1.25</f>
        <v>3650.1401250000004</v>
      </c>
      <c r="F20" s="12">
        <f t="shared" ref="F20:F31" si="2">C20*$B$8/100*1.25</f>
        <v>376.15437499999996</v>
      </c>
      <c r="G20" s="12">
        <f t="shared" ref="G20:G31" si="3">$B$9*1.25</f>
        <v>49</v>
      </c>
      <c r="H20" s="12">
        <f t="shared" ref="H20:H31" si="4">$B$12*1.25</f>
        <v>493.75</v>
      </c>
      <c r="I20" s="12">
        <f t="shared" ref="I20:I31" si="5">C20*$B$13/100*1.25</f>
        <v>246.3125</v>
      </c>
      <c r="J20" s="12">
        <f t="shared" ref="J20:J31" si="6">C20*$B$15/100*1.25</f>
        <v>1266.75</v>
      </c>
      <c r="K20" s="12">
        <f t="shared" ref="K20:K31" si="7">$B$35*$B$14*1.25</f>
        <v>641.875</v>
      </c>
      <c r="L20" s="12">
        <f>K20+J20+I20+H20</f>
        <v>2648.6875</v>
      </c>
      <c r="M20" s="12">
        <f>SUM(E20:K20)</f>
        <v>6723.982</v>
      </c>
      <c r="N20" s="14">
        <f>C20/31/24*1.9</f>
        <v>7.188844086021505</v>
      </c>
    </row>
    <row r="21" spans="1:14" x14ac:dyDescent="0.45">
      <c r="A21" s="15" t="s">
        <v>32</v>
      </c>
      <c r="B21" s="16">
        <v>1.7589999999999999</v>
      </c>
      <c r="C21" s="17">
        <f t="shared" si="0"/>
        <v>3411</v>
      </c>
      <c r="D21" s="18">
        <f>110*$B$16</f>
        <v>105.655</v>
      </c>
      <c r="E21" s="17">
        <f t="shared" si="1"/>
        <v>4504.8650625000009</v>
      </c>
      <c r="F21" s="17">
        <f t="shared" si="2"/>
        <v>455.79487499999999</v>
      </c>
      <c r="G21" s="17">
        <f t="shared" si="3"/>
        <v>49</v>
      </c>
      <c r="H21" s="17">
        <f t="shared" si="4"/>
        <v>493.75</v>
      </c>
      <c r="I21" s="17">
        <f t="shared" si="5"/>
        <v>298.46250000000003</v>
      </c>
      <c r="J21" s="17">
        <f t="shared" si="6"/>
        <v>1534.95</v>
      </c>
      <c r="K21" s="17">
        <f t="shared" si="7"/>
        <v>641.875</v>
      </c>
      <c r="L21" s="12">
        <f t="shared" ref="L21:L32" si="8">K21+J21+I21+H21</f>
        <v>2969.0374999999999</v>
      </c>
      <c r="M21" s="17">
        <f>SUM(E21:K21)</f>
        <v>7978.6974375</v>
      </c>
      <c r="N21" s="19">
        <f>C21/28/24*1.9</f>
        <v>9.6441964285714281</v>
      </c>
    </row>
    <row r="22" spans="1:14" x14ac:dyDescent="0.45">
      <c r="A22" s="6" t="s">
        <v>33</v>
      </c>
      <c r="B22" s="11">
        <v>1.1477999999999999</v>
      </c>
      <c r="C22" s="12">
        <f t="shared" si="0"/>
        <v>2226</v>
      </c>
      <c r="D22" s="13">
        <f>59*$B$16</f>
        <v>56.669499999999999</v>
      </c>
      <c r="E22" s="12">
        <f t="shared" si="1"/>
        <v>1576.8288375</v>
      </c>
      <c r="F22" s="12">
        <f t="shared" si="2"/>
        <v>297.44925000000001</v>
      </c>
      <c r="G22" s="12">
        <f t="shared" si="3"/>
        <v>49</v>
      </c>
      <c r="H22" s="12">
        <f t="shared" si="4"/>
        <v>493.75</v>
      </c>
      <c r="I22" s="12">
        <f t="shared" si="5"/>
        <v>194.77499999999998</v>
      </c>
      <c r="J22" s="12">
        <f t="shared" si="6"/>
        <v>1001.7</v>
      </c>
      <c r="K22" s="12">
        <f t="shared" si="7"/>
        <v>641.875</v>
      </c>
      <c r="L22" s="12">
        <f t="shared" si="8"/>
        <v>2332.1</v>
      </c>
      <c r="M22" s="12">
        <f>SUM(E22:K22)</f>
        <v>4255.3780875000002</v>
      </c>
      <c r="N22" s="14">
        <f>C22/31/24*1.9</f>
        <v>5.6846774193548386</v>
      </c>
    </row>
    <row r="23" spans="1:14" x14ac:dyDescent="0.45">
      <c r="A23" s="6" t="s">
        <v>34</v>
      </c>
      <c r="B23" s="11">
        <v>0.86539999999999995</v>
      </c>
      <c r="C23" s="12">
        <f t="shared" si="0"/>
        <v>1678</v>
      </c>
      <c r="D23" s="13">
        <f>61*$B$16</f>
        <v>58.590499999999999</v>
      </c>
      <c r="E23" s="12">
        <f t="shared" si="1"/>
        <v>1228.9357375</v>
      </c>
      <c r="F23" s="12">
        <f t="shared" si="2"/>
        <v>224.22274999999999</v>
      </c>
      <c r="G23" s="12">
        <f t="shared" si="3"/>
        <v>49</v>
      </c>
      <c r="H23" s="12">
        <f t="shared" si="4"/>
        <v>493.75</v>
      </c>
      <c r="I23" s="12">
        <f t="shared" si="5"/>
        <v>146.82499999999999</v>
      </c>
      <c r="J23" s="12">
        <f t="shared" si="6"/>
        <v>755.1</v>
      </c>
      <c r="K23" s="12">
        <f t="shared" si="7"/>
        <v>641.875</v>
      </c>
      <c r="L23" s="12">
        <f t="shared" si="8"/>
        <v>2037.55</v>
      </c>
      <c r="M23" s="12">
        <f>SUM(E23:K23)</f>
        <v>3539.7084874999996</v>
      </c>
      <c r="N23" s="14">
        <f>C23/30/24*1.6</f>
        <v>3.7288888888888887</v>
      </c>
    </row>
    <row r="24" spans="1:14" x14ac:dyDescent="0.45">
      <c r="A24" s="6" t="s">
        <v>35</v>
      </c>
      <c r="B24" s="11">
        <v>0.63019999999999998</v>
      </c>
      <c r="C24" s="12">
        <f t="shared" si="0"/>
        <v>1222</v>
      </c>
      <c r="D24" s="13">
        <f>69*$B$16</f>
        <v>66.274500000000003</v>
      </c>
      <c r="E24" s="12">
        <f t="shared" si="1"/>
        <v>1012.3429874999999</v>
      </c>
      <c r="F24" s="12">
        <f t="shared" si="2"/>
        <v>163.28975</v>
      </c>
      <c r="G24" s="12">
        <f t="shared" si="3"/>
        <v>49</v>
      </c>
      <c r="H24" s="12">
        <f t="shared" si="4"/>
        <v>493.75</v>
      </c>
      <c r="I24" s="12">
        <f t="shared" si="5"/>
        <v>106.92500000000001</v>
      </c>
      <c r="J24" s="12">
        <f t="shared" si="6"/>
        <v>549.9</v>
      </c>
      <c r="K24" s="12">
        <f t="shared" si="7"/>
        <v>641.875</v>
      </c>
      <c r="L24" s="12">
        <f t="shared" si="8"/>
        <v>1792.45</v>
      </c>
      <c r="M24" s="12">
        <f>SUM(E24:K24)</f>
        <v>3017.0827374999999</v>
      </c>
      <c r="N24" s="14">
        <f>C24/31/24*1.6</f>
        <v>2.6279569892473122</v>
      </c>
    </row>
    <row r="25" spans="1:14" x14ac:dyDescent="0.45">
      <c r="A25" s="6" t="s">
        <v>36</v>
      </c>
      <c r="B25" s="11">
        <v>0.5222</v>
      </c>
      <c r="C25" s="12">
        <f t="shared" si="0"/>
        <v>1013</v>
      </c>
      <c r="D25" s="13">
        <f>37*$B$16</f>
        <v>35.538499999999999</v>
      </c>
      <c r="E25" s="12">
        <f t="shared" si="1"/>
        <v>450.00625625000004</v>
      </c>
      <c r="F25" s="12">
        <f t="shared" si="2"/>
        <v>135.36212499999999</v>
      </c>
      <c r="G25" s="12">
        <f t="shared" si="3"/>
        <v>49</v>
      </c>
      <c r="H25" s="12">
        <f t="shared" si="4"/>
        <v>493.75</v>
      </c>
      <c r="I25" s="12">
        <f t="shared" si="5"/>
        <v>88.637499999999989</v>
      </c>
      <c r="J25" s="12">
        <f t="shared" si="6"/>
        <v>455.85</v>
      </c>
      <c r="K25" s="12">
        <f t="shared" si="7"/>
        <v>641.875</v>
      </c>
      <c r="L25" s="12">
        <f t="shared" si="8"/>
        <v>1680.1125</v>
      </c>
      <c r="M25" s="12">
        <f>SUM(E25:K25)</f>
        <v>2314.48088125</v>
      </c>
      <c r="N25" s="14">
        <f>C25/30/24*1.6</f>
        <v>2.2511111111111108</v>
      </c>
    </row>
    <row r="26" spans="1:14" x14ac:dyDescent="0.45">
      <c r="A26" s="6" t="s">
        <v>37</v>
      </c>
      <c r="B26" s="11">
        <v>0.51229999999999998</v>
      </c>
      <c r="C26" s="12">
        <f t="shared" si="0"/>
        <v>993</v>
      </c>
      <c r="D26" s="13">
        <f>29*$B$16</f>
        <v>27.854500000000002</v>
      </c>
      <c r="E26" s="12">
        <f t="shared" si="1"/>
        <v>345.74398125000005</v>
      </c>
      <c r="F26" s="12">
        <f t="shared" si="2"/>
        <v>132.68962500000001</v>
      </c>
      <c r="G26" s="12">
        <f t="shared" si="3"/>
        <v>49</v>
      </c>
      <c r="H26" s="12">
        <f t="shared" si="4"/>
        <v>493.75</v>
      </c>
      <c r="I26" s="12">
        <f t="shared" si="5"/>
        <v>86.887500000000003</v>
      </c>
      <c r="J26" s="12">
        <f t="shared" si="6"/>
        <v>446.85</v>
      </c>
      <c r="K26" s="12">
        <f t="shared" si="7"/>
        <v>641.875</v>
      </c>
      <c r="L26" s="12">
        <f t="shared" si="8"/>
        <v>1669.3625</v>
      </c>
      <c r="M26" s="12">
        <f>SUM(E26:K26)</f>
        <v>2196.7961062499999</v>
      </c>
      <c r="N26" s="14">
        <f>C26/31/24*1.6</f>
        <v>2.1354838709677422</v>
      </c>
    </row>
    <row r="27" spans="1:14" x14ac:dyDescent="0.45">
      <c r="A27" s="6" t="s">
        <v>38</v>
      </c>
      <c r="B27" s="11">
        <v>0.58599999999999997</v>
      </c>
      <c r="C27" s="12">
        <f t="shared" si="0"/>
        <v>1136</v>
      </c>
      <c r="D27" s="13">
        <f>39*$B$16</f>
        <v>37.459499999999998</v>
      </c>
      <c r="E27" s="12">
        <f t="shared" si="1"/>
        <v>531.92489999999998</v>
      </c>
      <c r="F27" s="12">
        <f t="shared" si="2"/>
        <v>151.798</v>
      </c>
      <c r="G27" s="12">
        <f t="shared" si="3"/>
        <v>49</v>
      </c>
      <c r="H27" s="12">
        <f t="shared" si="4"/>
        <v>493.75</v>
      </c>
      <c r="I27" s="12">
        <f t="shared" si="5"/>
        <v>99.399999999999991</v>
      </c>
      <c r="J27" s="12">
        <f t="shared" si="6"/>
        <v>511.2</v>
      </c>
      <c r="K27" s="12">
        <f t="shared" si="7"/>
        <v>641.875</v>
      </c>
      <c r="L27" s="12">
        <f t="shared" si="8"/>
        <v>1746.2250000000001</v>
      </c>
      <c r="M27" s="12">
        <f>SUM(E27:K27)</f>
        <v>2478.9479000000001</v>
      </c>
      <c r="N27" s="14">
        <f>C27/31/24*1.6</f>
        <v>2.4430107526881724</v>
      </c>
    </row>
    <row r="28" spans="1:14" x14ac:dyDescent="0.45">
      <c r="A28" s="6" t="s">
        <v>39</v>
      </c>
      <c r="B28" s="11">
        <v>0.79959999999999998</v>
      </c>
      <c r="C28" s="12">
        <f t="shared" si="0"/>
        <v>1550</v>
      </c>
      <c r="D28" s="13">
        <f>42*$B$16</f>
        <v>40.341000000000001</v>
      </c>
      <c r="E28" s="12">
        <f t="shared" si="1"/>
        <v>781.60687500000006</v>
      </c>
      <c r="F28" s="12">
        <f t="shared" si="2"/>
        <v>207.11874999999998</v>
      </c>
      <c r="G28" s="12">
        <f t="shared" si="3"/>
        <v>49</v>
      </c>
      <c r="H28" s="12">
        <f t="shared" si="4"/>
        <v>493.75</v>
      </c>
      <c r="I28" s="12">
        <f t="shared" si="5"/>
        <v>135.625</v>
      </c>
      <c r="J28" s="12">
        <f t="shared" si="6"/>
        <v>697.5</v>
      </c>
      <c r="K28" s="12">
        <f t="shared" si="7"/>
        <v>641.875</v>
      </c>
      <c r="L28" s="12">
        <f t="shared" si="8"/>
        <v>1968.75</v>
      </c>
      <c r="M28" s="12">
        <f>SUM(E28:K28)</f>
        <v>3006.475625</v>
      </c>
      <c r="N28" s="14">
        <f>C28/30/24*1.6</f>
        <v>3.4444444444444446</v>
      </c>
    </row>
    <row r="29" spans="1:14" x14ac:dyDescent="0.45">
      <c r="A29" s="6" t="s">
        <v>40</v>
      </c>
      <c r="B29" s="11">
        <v>1.0755999999999999</v>
      </c>
      <c r="C29" s="12">
        <f t="shared" si="0"/>
        <v>2086</v>
      </c>
      <c r="D29" s="13">
        <f>55*$B$16</f>
        <v>52.827500000000001</v>
      </c>
      <c r="E29" s="12">
        <f t="shared" si="1"/>
        <v>1377.4770625000001</v>
      </c>
      <c r="F29" s="12">
        <f t="shared" si="2"/>
        <v>278.74175000000002</v>
      </c>
      <c r="G29" s="12">
        <f t="shared" si="3"/>
        <v>49</v>
      </c>
      <c r="H29" s="12">
        <f t="shared" si="4"/>
        <v>493.75</v>
      </c>
      <c r="I29" s="12">
        <f t="shared" si="5"/>
        <v>182.52500000000001</v>
      </c>
      <c r="J29" s="12">
        <f t="shared" si="6"/>
        <v>938.7</v>
      </c>
      <c r="K29" s="12">
        <f t="shared" si="7"/>
        <v>641.875</v>
      </c>
      <c r="L29" s="12">
        <f t="shared" si="8"/>
        <v>2256.8500000000004</v>
      </c>
      <c r="M29" s="12">
        <f>SUM(E29:K29)</f>
        <v>3962.0688125000006</v>
      </c>
      <c r="N29" s="14">
        <f>C29/31/24*1.9</f>
        <v>5.3271505376344095</v>
      </c>
    </row>
    <row r="30" spans="1:14" x14ac:dyDescent="0.45">
      <c r="A30" s="6" t="s">
        <v>41</v>
      </c>
      <c r="B30" s="11">
        <v>1.2513000000000001</v>
      </c>
      <c r="C30" s="12">
        <f t="shared" si="0"/>
        <v>2426</v>
      </c>
      <c r="D30" s="13">
        <f>60*$B$16</f>
        <v>57.63</v>
      </c>
      <c r="E30" s="12">
        <f t="shared" si="1"/>
        <v>1747.6297500000001</v>
      </c>
      <c r="F30" s="12">
        <f t="shared" si="2"/>
        <v>324.17425000000003</v>
      </c>
      <c r="G30" s="12">
        <f t="shared" si="3"/>
        <v>49</v>
      </c>
      <c r="H30" s="12">
        <f t="shared" si="4"/>
        <v>493.75</v>
      </c>
      <c r="I30" s="12">
        <f t="shared" si="5"/>
        <v>212.27499999999998</v>
      </c>
      <c r="J30" s="12">
        <f t="shared" si="6"/>
        <v>1091.7</v>
      </c>
      <c r="K30" s="12">
        <f t="shared" si="7"/>
        <v>641.875</v>
      </c>
      <c r="L30" s="12">
        <f t="shared" si="8"/>
        <v>2439.6</v>
      </c>
      <c r="M30" s="12">
        <f>SUM(E30:K30)</f>
        <v>4560.4040000000005</v>
      </c>
      <c r="N30" s="14">
        <f>C30/30/24*1.9</f>
        <v>6.4019444444444433</v>
      </c>
    </row>
    <row r="31" spans="1:14" x14ac:dyDescent="0.45">
      <c r="A31" s="6" t="s">
        <v>42</v>
      </c>
      <c r="B31" s="11">
        <v>1.3987000000000001</v>
      </c>
      <c r="C31" s="12">
        <f t="shared" si="0"/>
        <v>2712</v>
      </c>
      <c r="D31" s="13">
        <f>45*$B$16</f>
        <v>43.222500000000004</v>
      </c>
      <c r="E31" s="12">
        <f t="shared" si="1"/>
        <v>1465.2427500000001</v>
      </c>
      <c r="F31" s="12">
        <f t="shared" si="2"/>
        <v>362.39100000000002</v>
      </c>
      <c r="G31" s="12">
        <f t="shared" si="3"/>
        <v>49</v>
      </c>
      <c r="H31" s="12">
        <f t="shared" si="4"/>
        <v>493.75</v>
      </c>
      <c r="I31" s="12">
        <f t="shared" si="5"/>
        <v>237.3</v>
      </c>
      <c r="J31" s="12">
        <f t="shared" si="6"/>
        <v>1220.4000000000001</v>
      </c>
      <c r="K31" s="12">
        <f t="shared" si="7"/>
        <v>641.875</v>
      </c>
      <c r="L31" s="12">
        <f t="shared" si="8"/>
        <v>2593.3250000000003</v>
      </c>
      <c r="M31" s="12">
        <f>SUM(E31:K31)</f>
        <v>4469.9587499999998</v>
      </c>
      <c r="N31" s="14">
        <f>C31/31/24*1.9</f>
        <v>6.9258064516129023</v>
      </c>
    </row>
    <row r="32" spans="1:14" x14ac:dyDescent="0.45">
      <c r="A32" s="20" t="s">
        <v>43</v>
      </c>
      <c r="B32" s="21"/>
      <c r="C32" s="22">
        <f>SUM(C20:C31)</f>
        <v>23268</v>
      </c>
      <c r="D32" s="21"/>
      <c r="E32" s="22">
        <f t="shared" ref="E32:M32" si="9">SUM(E20:E31)</f>
        <v>18672.744325000003</v>
      </c>
      <c r="F32" s="22">
        <f t="shared" si="9"/>
        <v>3109.1864999999998</v>
      </c>
      <c r="G32" s="22">
        <f t="shared" si="9"/>
        <v>588</v>
      </c>
      <c r="H32" s="22">
        <f t="shared" si="9"/>
        <v>5925</v>
      </c>
      <c r="I32" s="22">
        <f t="shared" si="9"/>
        <v>2035.95</v>
      </c>
      <c r="J32" s="22">
        <f t="shared" si="9"/>
        <v>10470.6</v>
      </c>
      <c r="K32" s="22">
        <f t="shared" si="9"/>
        <v>7702.5</v>
      </c>
      <c r="L32" s="12">
        <f t="shared" si="8"/>
        <v>26134.05</v>
      </c>
      <c r="M32" s="22">
        <f t="shared" si="9"/>
        <v>48503.980825000006</v>
      </c>
      <c r="N32" s="21"/>
    </row>
    <row r="34" spans="1:4" x14ac:dyDescent="0.45">
      <c r="A34" s="2" t="s">
        <v>44</v>
      </c>
      <c r="B34" s="2"/>
      <c r="C34" s="2"/>
      <c r="D34" s="2"/>
    </row>
    <row r="35" spans="1:4" x14ac:dyDescent="0.45">
      <c r="A35" s="9" t="s">
        <v>45</v>
      </c>
      <c r="B35" s="23">
        <f>ROUND((LARGE(N20:N31,1)+LARGE(N20:N31,2)+LARGE(N20:N31,3))/3,1)</f>
        <v>7.9</v>
      </c>
      <c r="C35" s="8" t="s">
        <v>46</v>
      </c>
    </row>
    <row r="36" spans="1:4" x14ac:dyDescent="0.45">
      <c r="A36" s="6" t="s">
        <v>47</v>
      </c>
      <c r="B36" s="13">
        <f>LARGE(N20:N31,1)</f>
        <v>9.6441964285714281</v>
      </c>
      <c r="C36" s="8" t="s">
        <v>46</v>
      </c>
    </row>
    <row r="37" spans="1:4" x14ac:dyDescent="0.45">
      <c r="A37" s="6" t="s">
        <v>48</v>
      </c>
      <c r="B37" s="13">
        <f>LARGE(N20:N31,2)</f>
        <v>7.188844086021505</v>
      </c>
      <c r="C37" s="8" t="s">
        <v>46</v>
      </c>
    </row>
    <row r="38" spans="1:4" x14ac:dyDescent="0.45">
      <c r="A38" s="6" t="s">
        <v>49</v>
      </c>
      <c r="B38" s="13">
        <f>LARGE(N20:N31,3)</f>
        <v>6.9258064516129023</v>
      </c>
      <c r="C38" s="8" t="s">
        <v>46</v>
      </c>
    </row>
    <row r="40" spans="1:4" x14ac:dyDescent="0.45">
      <c r="A40" s="3" t="s">
        <v>50</v>
      </c>
      <c r="B40" s="3"/>
      <c r="C40" s="3"/>
      <c r="D40" s="3"/>
    </row>
    <row r="41" spans="1:4" x14ac:dyDescent="0.45">
      <c r="A41" s="6" t="s">
        <v>22</v>
      </c>
      <c r="B41" s="12">
        <f>E32</f>
        <v>18672.744325000003</v>
      </c>
      <c r="C41" s="8" t="s">
        <v>51</v>
      </c>
    </row>
    <row r="42" spans="1:4" x14ac:dyDescent="0.45">
      <c r="A42" s="6" t="s">
        <v>52</v>
      </c>
      <c r="B42" s="12">
        <f>F32</f>
        <v>3109.1864999999998</v>
      </c>
      <c r="C42" s="8" t="s">
        <v>51</v>
      </c>
    </row>
    <row r="43" spans="1:4" x14ac:dyDescent="0.45">
      <c r="A43" s="6" t="s">
        <v>53</v>
      </c>
      <c r="B43" s="12">
        <f>G32</f>
        <v>588</v>
      </c>
      <c r="C43" s="8" t="s">
        <v>51</v>
      </c>
    </row>
    <row r="44" spans="1:4" x14ac:dyDescent="0.45">
      <c r="A44" s="6" t="s">
        <v>54</v>
      </c>
      <c r="B44" s="12">
        <f>H32</f>
        <v>5925</v>
      </c>
      <c r="C44" s="8" t="s">
        <v>51</v>
      </c>
    </row>
    <row r="45" spans="1:4" x14ac:dyDescent="0.45">
      <c r="A45" s="6" t="s">
        <v>55</v>
      </c>
      <c r="B45" s="12">
        <f>I32</f>
        <v>2035.95</v>
      </c>
      <c r="C45" s="8" t="s">
        <v>51</v>
      </c>
    </row>
    <row r="46" spans="1:4" x14ac:dyDescent="0.45">
      <c r="A46" s="6" t="s">
        <v>56</v>
      </c>
      <c r="B46" s="12">
        <f>J32</f>
        <v>10470.6</v>
      </c>
      <c r="C46" s="8" t="s">
        <v>51</v>
      </c>
    </row>
    <row r="47" spans="1:4" x14ac:dyDescent="0.45">
      <c r="A47" s="6" t="s">
        <v>57</v>
      </c>
      <c r="B47" s="12">
        <f>K32</f>
        <v>7702.5</v>
      </c>
      <c r="C47" s="8" t="s">
        <v>51</v>
      </c>
    </row>
    <row r="48" spans="1:4" ht="15.4" x14ac:dyDescent="0.45">
      <c r="A48" s="24" t="s">
        <v>58</v>
      </c>
      <c r="B48" s="25">
        <f>M32</f>
        <v>48503.980825000006</v>
      </c>
      <c r="C48" s="26" t="s">
        <v>59</v>
      </c>
    </row>
    <row r="50" spans="1:13" x14ac:dyDescent="0.45">
      <c r="A50" s="1" t="s">
        <v>60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x14ac:dyDescent="0.45">
      <c r="A51" s="1" t="s">
        <v>61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</sheetData>
  <mergeCells count="8">
    <mergeCell ref="A40:D40"/>
    <mergeCell ref="A50:M50"/>
    <mergeCell ref="A51:M51"/>
    <mergeCell ref="A1:O1"/>
    <mergeCell ref="A2:O2"/>
    <mergeCell ref="A4:D4"/>
    <mergeCell ref="A11:D11"/>
    <mergeCell ref="A34:D34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Kostnadsanalys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Gustaf Stetler</cp:lastModifiedBy>
  <cp:revision>0</cp:revision>
  <dcterms:created xsi:type="dcterms:W3CDTF">2026-04-09T21:26:04Z</dcterms:created>
  <dcterms:modified xsi:type="dcterms:W3CDTF">2026-04-13T07:51:34Z</dcterms:modified>
  <dc:language>en-US</dc:language>
</cp:coreProperties>
</file>